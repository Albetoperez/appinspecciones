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8_{76493F8C-A2E4-452F-85E2-7722C00603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_APP" sheetId="1" r:id="rId1"/>
    <sheet name="PUNCHLIST_OFICIAL" sheetId="2" r:id="rId2"/>
    <sheet name="DASHBOARD_RESUMEN" sheetId="3" r:id="rId3"/>
    <sheet name="calculos dashboard" sheetId="4" state="hidden" r:id="rId4"/>
  </sheets>
  <calcPr calcId="191029"/>
  <pivotCaches>
    <pivotCache cacheId="27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F4" i="2"/>
  <c r="F2" i="3" s="1"/>
  <c r="E4" i="2"/>
  <c r="D4" i="2"/>
  <c r="C4" i="2"/>
  <c r="B4" i="2"/>
  <c r="A4" i="2"/>
</calcChain>
</file>

<file path=xl/sharedStrings.xml><?xml version="1.0" encoding="utf-8"?>
<sst xmlns="http://schemas.openxmlformats.org/spreadsheetml/2006/main" count="27" uniqueCount="21">
  <si>
    <t>ID_INFORME</t>
  </si>
  <si>
    <t>FECHA</t>
  </si>
  <si>
    <t>ZONA</t>
  </si>
  <si>
    <t>DISCIPLINA</t>
  </si>
  <si>
    <t>SUB_DISCIPLINA</t>
  </si>
  <si>
    <t>EQUIPO</t>
  </si>
  <si>
    <t>BLOQUE</t>
  </si>
  <si>
    <t>DEFECTO</t>
  </si>
  <si>
    <t>ESTADO_INICIAL</t>
  </si>
  <si>
    <t>OBSERVACIONES</t>
  </si>
  <si>
    <t>CONTROL DE SUBSANACIONES - PROYECTO SIGMA</t>
  </si>
  <si>
    <t>Contrata Asignada</t>
  </si>
  <si>
    <t>Prioridad</t>
  </si>
  <si>
    <t>Estado Reparación</t>
  </si>
  <si>
    <t>Fecha de Subsanación</t>
  </si>
  <si>
    <t>Comentarios Contrata</t>
  </si>
  <si>
    <t>Validación QC</t>
  </si>
  <si>
    <t>Etiquetas de fila</t>
  </si>
  <si>
    <t>Total general</t>
  </si>
  <si>
    <t>Cuenta de ESTADO_INICIAL</t>
  </si>
  <si>
    <t>(en blanco)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</si>
</sst>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05596"/>
        <bgColor rgb="FF005596"/>
      </patternFill>
    </fill>
    <fill>
      <patternFill patternType="solid">
        <fgColor rgb="FFF4F7F6"/>
        <bgColor rgb="FFF4F7F6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0" xfId="0" applyFont="1" applyFill="1" applyAlignment="1">
      <alignment horizontal="center"/>
    </xf>
    <xf numFmtId="0" fontId="0" fillId="3" borderId="0" xfId="0" applyFill="1"/>
    <xf numFmtId="0" fontId="1" fillId="2" borderId="0" xfId="0" applyFont="1" applyFill="1" applyAlignment="1">
      <alignment horizontal="center"/>
    </xf>
    <xf numFmtId="0" fontId="0" fillId="0" borderId="0" xfId="0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[Plantilla_SIGMA.xlsx]calculos dashboard!TablaDinámica2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'calculos dashboard'!$B$4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'calculos dashboard'!$A$5:$A$6</c:f>
              <c:strCache>
                <c:ptCount val="1"/>
                <c:pt idx="0">
                  <c:v>(en blanco)</c:v>
                </c:pt>
              </c:strCache>
            </c:strRef>
          </c:cat>
          <c:val>
            <c:numRef>
              <c:f>'calculos dashboard'!$B$5:$B$6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C57C-4B74-B4A2-AB3A0EAC3C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9758720"/>
        <c:axId val="1189748640"/>
      </c:barChart>
      <c:catAx>
        <c:axId val="118975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89748640"/>
        <c:crosses val="autoZero"/>
        <c:auto val="1"/>
        <c:lblAlgn val="ctr"/>
        <c:lblOffset val="100"/>
        <c:noMultiLvlLbl val="0"/>
      </c:catAx>
      <c:valAx>
        <c:axId val="118974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8975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</xdr:colOff>
      <xdr:row>9</xdr:row>
      <xdr:rowOff>34290</xdr:rowOff>
    </xdr:from>
    <xdr:to>
      <xdr:col>7</xdr:col>
      <xdr:colOff>251460</xdr:colOff>
      <xdr:row>23</xdr:row>
      <xdr:rowOff>83820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D6A4DE0-6499-080C-7133-4FC5291B2F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or" refreshedDate="46141.584427662034" createdVersion="8" refreshedVersion="8" minRefreshableVersion="3" recordCount="85" xr:uid="{6C658471-862D-4809-B675-402554B66B9E}">
  <cacheSource type="worksheet">
    <worksheetSource ref="A1:J86" sheet="DATOS_APP"/>
  </cacheSource>
  <cacheFields count="10">
    <cacheField name="ID_INFORME" numFmtId="0">
      <sharedItems containsNonDate="0" containsString="0" containsBlank="1"/>
    </cacheField>
    <cacheField name="FECHA" numFmtId="0">
      <sharedItems containsNonDate="0" containsString="0" containsBlank="1"/>
    </cacheField>
    <cacheField name="ZONA" numFmtId="0">
      <sharedItems containsNonDate="0" containsString="0" containsBlank="1"/>
    </cacheField>
    <cacheField name="DISCIPLINA" numFmtId="0">
      <sharedItems containsNonDate="0" containsString="0" containsBlank="1"/>
    </cacheField>
    <cacheField name="SUB_DISCIPLINA" numFmtId="0">
      <sharedItems containsNonDate="0" containsString="0" containsBlank="1"/>
    </cacheField>
    <cacheField name="EQUIPO" numFmtId="0">
      <sharedItems containsNonDate="0" containsString="0" containsBlank="1"/>
    </cacheField>
    <cacheField name="BLOQUE" numFmtId="0">
      <sharedItems containsNonDate="0" containsString="0" containsBlank="1"/>
    </cacheField>
    <cacheField name="DEFECTO" numFmtId="0">
      <sharedItems containsNonDate="0" containsString="0" containsBlank="1"/>
    </cacheField>
    <cacheField name="ESTADO_INICIAL" numFmtId="0">
      <sharedItems containsNonDate="0" containsBlank="1" count="3">
        <m/>
        <s v="PENDIENTE" u="1"/>
        <s v="NOK" u="1"/>
      </sharedItems>
    </cacheField>
    <cacheField name="OBSERVACION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"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  <r>
    <m/>
    <m/>
    <m/>
    <m/>
    <m/>
    <m/>
    <m/>
    <m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425414-AC8C-4D30-A1F5-64133C2F8ADD}" name="TablaDinámica2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A4:B6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4">
        <item m="1" x="2"/>
        <item m="1" x="1"/>
        <item x="0"/>
        <item t="default"/>
      </items>
    </pivotField>
    <pivotField showAll="0"/>
  </pivotFields>
  <rowFields count="1">
    <field x="8"/>
  </rowFields>
  <rowItems count="2">
    <i>
      <x v="2"/>
    </i>
    <i t="grand">
      <x/>
    </i>
  </rowItems>
  <colItems count="1">
    <i/>
  </colItems>
  <dataFields count="1">
    <dataField name="Cuenta de ESTADO_INICIAL" fld="8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"/>
  <sheetViews>
    <sheetView tabSelected="1" zoomScaleNormal="100" workbookViewId="0">
      <pane ySplit="1" topLeftCell="A2" activePane="bottomLeft" state="frozen"/>
      <selection pane="bottomLeft" activeCell="E17" sqref="E17"/>
    </sheetView>
  </sheetViews>
  <sheetFormatPr baseColWidth="10" defaultColWidth="8.88671875" defaultRowHeight="14.4" x14ac:dyDescent="0.3"/>
  <cols>
    <col min="1" max="1" width="21.44140625" bestFit="1" customWidth="1"/>
    <col min="2" max="2" width="10.33203125" bestFit="1" customWidth="1"/>
    <col min="3" max="3" width="10.5546875" customWidth="1"/>
    <col min="4" max="4" width="15.33203125" customWidth="1"/>
    <col min="5" max="5" width="45.6640625" customWidth="1"/>
    <col min="6" max="6" width="11.44140625" customWidth="1"/>
    <col min="7" max="7" width="28.21875" customWidth="1"/>
    <col min="8" max="8" width="83.77734375" customWidth="1"/>
    <col min="9" max="9" width="17.6640625" customWidth="1"/>
    <col min="10" max="10" width="14.88671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"/>
  <sheetViews>
    <sheetView zoomScaleNormal="100" workbookViewId="0">
      <pane xSplit="3" ySplit="3" topLeftCell="D4" activePane="bottomRight" state="frozen"/>
      <selection pane="topRight"/>
      <selection pane="bottomLeft"/>
      <selection pane="bottomRight" activeCell="I10" sqref="I10"/>
    </sheetView>
  </sheetViews>
  <sheetFormatPr baseColWidth="10" defaultColWidth="8.88671875" defaultRowHeight="14.4" x14ac:dyDescent="0.3"/>
  <cols>
    <col min="1" max="1" width="21.44140625" bestFit="1" customWidth="1"/>
    <col min="2" max="2" width="10.33203125" bestFit="1" customWidth="1"/>
    <col min="3" max="3" width="6.6640625" bestFit="1" customWidth="1"/>
    <col min="4" max="4" width="7.6640625" bestFit="1" customWidth="1"/>
    <col min="5" max="5" width="40.77734375" bestFit="1" customWidth="1"/>
    <col min="6" max="6" width="15" bestFit="1" customWidth="1"/>
    <col min="7" max="7" width="16.5546875" bestFit="1" customWidth="1"/>
    <col min="8" max="8" width="8.6640625" bestFit="1" customWidth="1"/>
    <col min="9" max="9" width="16.6640625" bestFit="1" customWidth="1"/>
    <col min="10" max="10" width="19.6640625" bestFit="1" customWidth="1"/>
    <col min="11" max="11" width="19.5546875" bestFit="1" customWidth="1"/>
    <col min="12" max="12" width="12.6640625" bestFit="1" customWidth="1"/>
  </cols>
  <sheetData>
    <row r="1" spans="1:12" ht="18" x14ac:dyDescent="0.35">
      <c r="A1" s="3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3" spans="1:12" x14ac:dyDescent="0.3">
      <c r="A3" s="1" t="s">
        <v>0</v>
      </c>
      <c r="B3" s="1" t="s">
        <v>1</v>
      </c>
      <c r="C3" s="1" t="s">
        <v>2</v>
      </c>
      <c r="D3" s="1" t="s">
        <v>5</v>
      </c>
      <c r="E3" s="1" t="s">
        <v>7</v>
      </c>
      <c r="F3" s="1" t="s">
        <v>8</v>
      </c>
      <c r="G3" s="1" t="s">
        <v>11</v>
      </c>
      <c r="H3" s="1" t="s">
        <v>12</v>
      </c>
      <c r="I3" s="1" t="s">
        <v>13</v>
      </c>
      <c r="J3" s="1" t="s">
        <v>14</v>
      </c>
      <c r="K3" s="1" t="s">
        <v>15</v>
      </c>
      <c r="L3" s="1" t="s">
        <v>16</v>
      </c>
    </row>
    <row r="4" spans="1:12" x14ac:dyDescent="0.3">
      <c r="A4">
        <f>DATOS_APP!A2</f>
        <v>0</v>
      </c>
      <c r="B4">
        <f>DATOS_APP!B2</f>
        <v>0</v>
      </c>
      <c r="C4">
        <f>DATOS_APP!C2</f>
        <v>0</v>
      </c>
      <c r="D4">
        <f>DATOS_APP!D2</f>
        <v>0</v>
      </c>
      <c r="E4">
        <f>DATOS_APP!E2</f>
        <v>0</v>
      </c>
      <c r="F4">
        <f>DATOS_APP!F2</f>
        <v>0</v>
      </c>
    </row>
  </sheetData>
  <mergeCells count="1">
    <mergeCell ref="A1:L1"/>
  </mergeCells>
  <dataValidations count="3">
    <dataValidation type="list" sqref="H4:H1000" xr:uid="{00000000-0002-0000-0100-000000000000}">
      <formula1>"Alta,Media,Baja"</formula1>
    </dataValidation>
    <dataValidation type="list" sqref="I4:I1000" xr:uid="{00000000-0002-0000-0100-000002000000}">
      <formula1>"Pendiente,En Curso,Reparado,Bloqueado"</formula1>
    </dataValidation>
    <dataValidation type="list" sqref="L4:L1000" xr:uid="{00000000-0002-0000-0100-000004000000}">
      <formula1>"Aprobado,Rechazado"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9"/>
  <sheetViews>
    <sheetView showGridLines="0" zoomScaleNormal="100" workbookViewId="0">
      <selection activeCell="J22" sqref="J22"/>
    </sheetView>
  </sheetViews>
  <sheetFormatPr baseColWidth="10" defaultColWidth="8.88671875" defaultRowHeight="14.4" x14ac:dyDescent="0.3"/>
  <cols>
    <col min="18" max="18" width="16.5546875" bestFit="1" customWidth="1"/>
    <col min="19" max="19" width="24.21875" bestFit="1" customWidth="1"/>
  </cols>
  <sheetData>
    <row r="1" spans="1:19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19" x14ac:dyDescent="0.3">
      <c r="A2" s="2"/>
      <c r="B2" s="5">
        <f>COUNTIF(DATOS_APP!I:I, "NOK") + COUNTIF(DATOS_APP!I:I, "PENDIENTE")</f>
        <v>0</v>
      </c>
      <c r="C2" s="4"/>
      <c r="D2" s="4"/>
      <c r="E2" s="2"/>
      <c r="F2" s="5">
        <f>COUNTIF(PUNCHLIST_OFICIAL!F:F, "Reparado")</f>
        <v>0</v>
      </c>
      <c r="G2" s="4"/>
      <c r="H2" s="4"/>
      <c r="I2" s="2"/>
      <c r="J2" s="5" t="e">
        <f>B5/(A5+B5)</f>
        <v>#DIV/0!</v>
      </c>
      <c r="K2" s="4"/>
      <c r="L2" s="4"/>
      <c r="M2" s="2"/>
      <c r="N2" s="2"/>
      <c r="O2" s="2"/>
      <c r="P2" s="2"/>
      <c r="Q2" s="2"/>
      <c r="R2" s="2"/>
      <c r="S2" s="2"/>
    </row>
    <row r="3" spans="1:19" x14ac:dyDescent="0.3">
      <c r="A3" s="2"/>
      <c r="B3" s="4"/>
      <c r="C3" s="4"/>
      <c r="D3" s="4"/>
      <c r="E3" s="2"/>
      <c r="F3" s="4"/>
      <c r="G3" s="4"/>
      <c r="H3" s="4"/>
      <c r="I3" s="2"/>
      <c r="J3" s="4"/>
      <c r="K3" s="4"/>
      <c r="L3" s="4"/>
      <c r="M3" s="2"/>
      <c r="N3" s="2"/>
      <c r="O3" s="2"/>
      <c r="P3" s="2"/>
      <c r="Q3" s="2"/>
      <c r="R3" s="2"/>
      <c r="S3" s="2"/>
    </row>
    <row r="4" spans="1:19" x14ac:dyDescent="0.3">
      <c r="A4" s="2"/>
      <c r="B4" s="4"/>
      <c r="C4" s="4"/>
      <c r="D4" s="4"/>
      <c r="E4" s="2"/>
      <c r="F4" s="4"/>
      <c r="G4" s="4"/>
      <c r="H4" s="4"/>
      <c r="I4" s="2"/>
      <c r="J4" s="4"/>
      <c r="K4" s="4"/>
      <c r="L4" s="4"/>
      <c r="M4" s="2"/>
      <c r="N4" s="2"/>
      <c r="O4" s="2"/>
      <c r="P4" s="2"/>
      <c r="Q4" s="2"/>
      <c r="R4" s="2"/>
      <c r="S4" s="2"/>
    </row>
    <row r="5" spans="1:19" x14ac:dyDescent="0.3">
      <c r="A5" s="2"/>
      <c r="B5" s="4"/>
      <c r="C5" s="4"/>
      <c r="D5" s="4"/>
      <c r="E5" s="2"/>
      <c r="F5" s="4"/>
      <c r="G5" s="4"/>
      <c r="H5" s="4"/>
      <c r="I5" s="2"/>
      <c r="J5" s="4"/>
      <c r="K5" s="4"/>
      <c r="L5" s="4"/>
      <c r="M5" s="2"/>
      <c r="N5" s="2"/>
      <c r="O5" s="2"/>
      <c r="P5" s="2"/>
      <c r="Q5" s="2"/>
      <c r="R5" s="2"/>
      <c r="S5" s="2"/>
    </row>
    <row r="6" spans="1:19" x14ac:dyDescent="0.3">
      <c r="A6" s="2"/>
      <c r="B6" s="4"/>
      <c r="C6" s="4"/>
      <c r="D6" s="4"/>
      <c r="E6" s="2"/>
      <c r="F6" s="4"/>
      <c r="G6" s="4"/>
      <c r="H6" s="4"/>
      <c r="I6" s="2"/>
      <c r="J6" s="4"/>
      <c r="K6" s="4"/>
      <c r="L6" s="4"/>
      <c r="M6" s="2"/>
      <c r="N6" s="2"/>
      <c r="O6" s="2"/>
      <c r="P6" s="2"/>
      <c r="Q6" s="2"/>
      <c r="R6" s="2"/>
      <c r="S6" s="2"/>
    </row>
    <row r="7" spans="1:19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</row>
    <row r="8" spans="1:19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</row>
    <row r="9" spans="1:19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</row>
    <row r="10" spans="1:19" x14ac:dyDescent="0.3">
      <c r="A10" s="2"/>
      <c r="B10" s="6"/>
      <c r="C10" s="4"/>
      <c r="D10" s="4"/>
      <c r="E10" s="4"/>
      <c r="F10" s="4"/>
      <c r="G10" s="4"/>
      <c r="H10" s="4"/>
      <c r="I10" s="2"/>
      <c r="J10" s="6"/>
      <c r="K10" s="4"/>
      <c r="L10" s="4"/>
      <c r="M10" s="4"/>
      <c r="N10" s="4"/>
      <c r="O10" s="4"/>
      <c r="P10" s="4"/>
      <c r="Q10" s="2"/>
      <c r="R10" s="2"/>
      <c r="S10" s="2"/>
    </row>
    <row r="11" spans="1:19" x14ac:dyDescent="0.3">
      <c r="A11" s="2"/>
      <c r="B11" s="4"/>
      <c r="C11" s="4"/>
      <c r="D11" s="4"/>
      <c r="E11" s="4"/>
      <c r="F11" s="4"/>
      <c r="G11" s="4"/>
      <c r="H11" s="4"/>
      <c r="I11" s="2"/>
      <c r="J11" s="4"/>
      <c r="K11" s="4"/>
      <c r="L11" s="4"/>
      <c r="M11" s="4"/>
      <c r="N11" s="4"/>
      <c r="O11" s="4"/>
      <c r="P11" s="4"/>
      <c r="Q11" s="2"/>
      <c r="R11" s="2"/>
      <c r="S11" s="2"/>
    </row>
    <row r="12" spans="1:19" x14ac:dyDescent="0.3">
      <c r="A12" s="2"/>
      <c r="B12" s="4"/>
      <c r="C12" s="4"/>
      <c r="D12" s="4"/>
      <c r="E12" s="4"/>
      <c r="F12" s="4"/>
      <c r="G12" s="4"/>
      <c r="H12" s="4"/>
      <c r="I12" s="2"/>
      <c r="J12" s="4"/>
      <c r="K12" s="4"/>
      <c r="L12" s="4"/>
      <c r="M12" s="4"/>
      <c r="N12" s="4"/>
      <c r="O12" s="4"/>
      <c r="P12" s="4"/>
      <c r="Q12" s="2"/>
      <c r="R12" s="2"/>
      <c r="S12" s="2"/>
    </row>
    <row r="13" spans="1:19" x14ac:dyDescent="0.3">
      <c r="A13" s="2"/>
      <c r="B13" s="4"/>
      <c r="C13" s="4"/>
      <c r="D13" s="4"/>
      <c r="E13" s="4"/>
      <c r="F13" s="4"/>
      <c r="G13" s="4"/>
      <c r="H13" s="4"/>
      <c r="I13" s="2"/>
      <c r="J13" s="4"/>
      <c r="K13" s="4"/>
      <c r="L13" s="4"/>
      <c r="M13" s="4"/>
      <c r="N13" s="4"/>
      <c r="O13" s="4"/>
      <c r="P13" s="4"/>
      <c r="Q13" s="2"/>
      <c r="R13" s="2"/>
      <c r="S13" s="2"/>
    </row>
    <row r="14" spans="1:19" x14ac:dyDescent="0.3">
      <c r="A14" s="2"/>
      <c r="B14" s="4"/>
      <c r="C14" s="4"/>
      <c r="D14" s="4"/>
      <c r="E14" s="4"/>
      <c r="F14" s="4"/>
      <c r="G14" s="4"/>
      <c r="H14" s="4"/>
      <c r="I14" s="2"/>
      <c r="J14" s="4"/>
      <c r="K14" s="4"/>
      <c r="L14" s="4"/>
      <c r="M14" s="4"/>
      <c r="N14" s="4"/>
      <c r="O14" s="4"/>
      <c r="P14" s="4"/>
      <c r="Q14" s="2"/>
      <c r="R14" s="2"/>
      <c r="S14" s="2"/>
    </row>
    <row r="15" spans="1:19" x14ac:dyDescent="0.3">
      <c r="A15" s="2"/>
      <c r="B15" s="4"/>
      <c r="C15" s="4"/>
      <c r="D15" s="4"/>
      <c r="E15" s="4"/>
      <c r="F15" s="4"/>
      <c r="G15" s="4"/>
      <c r="H15" s="4"/>
      <c r="I15" s="2"/>
      <c r="J15" s="4"/>
      <c r="K15" s="4"/>
      <c r="L15" s="4"/>
      <c r="M15" s="4"/>
      <c r="N15" s="4"/>
      <c r="O15" s="4"/>
      <c r="P15" s="4"/>
      <c r="Q15" s="2"/>
      <c r="R15" s="2"/>
      <c r="S15" s="2"/>
    </row>
    <row r="16" spans="1:19" x14ac:dyDescent="0.3">
      <c r="A16" s="2"/>
      <c r="B16" s="4"/>
      <c r="C16" s="4"/>
      <c r="D16" s="4"/>
      <c r="E16" s="4"/>
      <c r="F16" s="4"/>
      <c r="G16" s="4"/>
      <c r="H16" s="4"/>
      <c r="I16" s="2"/>
      <c r="J16" s="4"/>
      <c r="K16" s="4"/>
      <c r="L16" s="4"/>
      <c r="M16" s="4"/>
      <c r="N16" s="4"/>
      <c r="O16" s="4"/>
      <c r="P16" s="4"/>
      <c r="Q16" s="2"/>
      <c r="R16" s="2"/>
      <c r="S16" s="2"/>
    </row>
    <row r="17" spans="1:19" x14ac:dyDescent="0.3">
      <c r="A17" s="2"/>
      <c r="B17" s="4"/>
      <c r="C17" s="4"/>
      <c r="D17" s="4"/>
      <c r="E17" s="4"/>
      <c r="F17" s="4"/>
      <c r="G17" s="4"/>
      <c r="H17" s="4"/>
      <c r="I17" s="2"/>
      <c r="J17" s="4"/>
      <c r="K17" s="4"/>
      <c r="L17" s="4"/>
      <c r="M17" s="4"/>
      <c r="N17" s="4"/>
      <c r="O17" s="4"/>
      <c r="P17" s="4"/>
      <c r="Q17" s="2"/>
      <c r="R17" s="2"/>
      <c r="S17" s="2"/>
    </row>
    <row r="18" spans="1:19" x14ac:dyDescent="0.3">
      <c r="A18" s="2"/>
      <c r="B18" s="4"/>
      <c r="C18" s="4"/>
      <c r="D18" s="4"/>
      <c r="E18" s="4"/>
      <c r="F18" s="4"/>
      <c r="G18" s="4"/>
      <c r="H18" s="4"/>
      <c r="I18" s="2"/>
      <c r="J18" s="4"/>
      <c r="K18" s="4"/>
      <c r="L18" s="4"/>
      <c r="M18" s="4"/>
      <c r="N18" s="4"/>
      <c r="O18" s="4"/>
      <c r="P18" s="4"/>
      <c r="Q18" s="2"/>
      <c r="R18" s="2"/>
      <c r="S18" s="2"/>
    </row>
    <row r="19" spans="1:19" x14ac:dyDescent="0.3">
      <c r="A19" s="2"/>
      <c r="B19" s="4"/>
      <c r="C19" s="4"/>
      <c r="D19" s="4"/>
      <c r="E19" s="4"/>
      <c r="F19" s="4"/>
      <c r="G19" s="4"/>
      <c r="H19" s="4"/>
      <c r="I19" s="2"/>
      <c r="J19" s="4"/>
      <c r="K19" s="4"/>
      <c r="L19" s="4"/>
      <c r="M19" s="4"/>
      <c r="N19" s="4"/>
      <c r="O19" s="4"/>
      <c r="P19" s="4"/>
      <c r="Q19" s="2"/>
      <c r="R19" s="2"/>
      <c r="S19" s="2"/>
    </row>
    <row r="20" spans="1:19" x14ac:dyDescent="0.3">
      <c r="A20" s="2"/>
      <c r="B20" s="4"/>
      <c r="C20" s="4"/>
      <c r="D20" s="4"/>
      <c r="E20" s="4"/>
      <c r="F20" s="4"/>
      <c r="G20" s="4"/>
      <c r="H20" s="4"/>
      <c r="I20" s="2"/>
      <c r="J20" s="4"/>
      <c r="K20" s="4"/>
      <c r="L20" s="4"/>
      <c r="M20" s="4"/>
      <c r="N20" s="4"/>
      <c r="O20" s="4"/>
      <c r="P20" s="4"/>
      <c r="Q20" s="2"/>
      <c r="R20" s="2"/>
      <c r="S20" s="2"/>
    </row>
    <row r="21" spans="1:19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</row>
    <row r="22" spans="1:19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</row>
    <row r="23" spans="1:19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</row>
    <row r="24" spans="1:19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</row>
    <row r="25" spans="1:19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</row>
    <row r="26" spans="1:19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</row>
    <row r="27" spans="1:19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</row>
    <row r="28" spans="1:19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</row>
    <row r="29" spans="1:19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</row>
    <row r="30" spans="1:19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</row>
    <row r="31" spans="1:19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</row>
    <row r="32" spans="1:19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</row>
    <row r="33" spans="1:19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</row>
    <row r="34" spans="1:19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</row>
    <row r="35" spans="1:19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</row>
    <row r="36" spans="1:19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</row>
    <row r="37" spans="1:19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</row>
    <row r="38" spans="1:19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</row>
    <row r="39" spans="1:19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spans="1:19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</row>
    <row r="41" spans="1:19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</row>
    <row r="42" spans="1:19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</row>
    <row r="43" spans="1:19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</row>
    <row r="44" spans="1:19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</row>
    <row r="45" spans="1:19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</row>
    <row r="46" spans="1:19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</row>
    <row r="47" spans="1:19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</row>
    <row r="48" spans="1:19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</row>
    <row r="49" spans="1:19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</row>
  </sheetData>
  <mergeCells count="5">
    <mergeCell ref="B2:D6"/>
    <mergeCell ref="F2:H6"/>
    <mergeCell ref="J2:L6"/>
    <mergeCell ref="B10:H20"/>
    <mergeCell ref="J10:P20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D57A8-9DAE-416C-BDFD-B93A511B7E45}">
  <dimension ref="A3:B6"/>
  <sheetViews>
    <sheetView workbookViewId="0">
      <selection activeCell="D8" sqref="D8"/>
    </sheetView>
  </sheetViews>
  <sheetFormatPr baseColWidth="10" defaultRowHeight="14.4" x14ac:dyDescent="0.3"/>
  <cols>
    <col min="1" max="1" width="16.5546875" bestFit="1" customWidth="1"/>
    <col min="2" max="2" width="24.21875" bestFit="1" customWidth="1"/>
  </cols>
  <sheetData>
    <row r="3" spans="1:2" x14ac:dyDescent="0.3">
      <c r="A3" s="2"/>
      <c r="B3" s="2"/>
    </row>
    <row r="4" spans="1:2" x14ac:dyDescent="0.3">
      <c r="A4" s="7" t="s">
        <v>17</v>
      </c>
      <c r="B4" t="s">
        <v>19</v>
      </c>
    </row>
    <row r="5" spans="1:2" x14ac:dyDescent="0.3">
      <c r="A5" s="8" t="s">
        <v>20</v>
      </c>
      <c r="B5" s="9"/>
    </row>
    <row r="6" spans="1:2" x14ac:dyDescent="0.3">
      <c r="A6" s="8" t="s">
        <v>18</v>
      </c>
      <c r="B6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DATOS_APP</vt:lpstr>
      <vt:lpstr>PUNCHLIST_OFICIAL</vt:lpstr>
      <vt:lpstr>DASHBOARD_RESUMEN</vt:lpstr>
      <vt:lpstr>calculos 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2026-04-29T09:24:38Z</dcterms:created>
  <dcterms:modified xsi:type="dcterms:W3CDTF">2026-04-29T12:02:11Z</dcterms:modified>
</cp:coreProperties>
</file>